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C707D57-0253-427D-A24D-751E22487BEF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Gantt Cha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G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G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G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G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G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G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G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G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</calcChain>
</file>

<file path=xl/sharedStrings.xml><?xml version="1.0" encoding="utf-8"?>
<sst xmlns="http://schemas.openxmlformats.org/spreadsheetml/2006/main" count="64" uniqueCount="41">
  <si>
    <t>Project Start Date:</t>
  </si>
  <si>
    <t>Project Name:</t>
  </si>
  <si>
    <t>FYP Electrical Panel Monitoring System</t>
  </si>
  <si>
    <t>2026</t>
  </si>
  <si>
    <t>Week Starting:</t>
  </si>
  <si>
    <t>Jan</t>
  </si>
  <si>
    <t>Feb</t>
  </si>
  <si>
    <t>Mar</t>
  </si>
  <si>
    <t>Apr</t>
  </si>
  <si>
    <t>May</t>
  </si>
  <si>
    <t>Jun</t>
  </si>
  <si>
    <t>#</t>
  </si>
  <si>
    <t>Activity</t>
  </si>
  <si>
    <t>Description</t>
  </si>
  <si>
    <t>Assigned To</t>
  </si>
  <si>
    <t>Start</t>
  </si>
  <si>
    <t>End</t>
  </si>
  <si>
    <t>Days</t>
  </si>
  <si>
    <t>Status</t>
  </si>
  <si>
    <t>Project Initiation</t>
  </si>
  <si>
    <t>Complete PID, finalize requirements, set up dev environment</t>
  </si>
  <si>
    <t>Not started</t>
  </si>
  <si>
    <t>0%</t>
  </si>
  <si>
    <t>Research &amp; Design</t>
  </si>
  <si>
    <t>Literature review, system architecture, database schema design</t>
  </si>
  <si>
    <t>Hardware &amp; Firmware Dev</t>
  </si>
  <si>
    <t>ESP32 prototype, sensor integration, RFID, MQTT comms</t>
  </si>
  <si>
    <t>Backend Development</t>
  </si>
  <si>
    <t>MQTT broker setup, API development, database implementation</t>
  </si>
  <si>
    <t>Frontend Development</t>
  </si>
  <si>
    <t>Web dashboard UI, panel selection, real-time data display</t>
  </si>
  <si>
    <t>Message Alert Integration</t>
  </si>
  <si>
    <t>Alert notification integration, triggering logic</t>
  </si>
  <si>
    <t>Integration &amp; Testing</t>
  </si>
  <si>
    <t>System integration, comprehensive testing, bug fixing</t>
  </si>
  <si>
    <t>Documentation &amp; Report</t>
  </si>
  <si>
    <t>Final report writing, user documentation</t>
  </si>
  <si>
    <t>Submission</t>
  </si>
  <si>
    <t>Final report submission - 23 June 2026</t>
  </si>
  <si>
    <t>Edwin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</si>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</sst>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b/>
      <i/>
      <sz val="14"/>
      <color rgb="FF808080"/>
      <name val="Arial"/>
      <charset val="1"/>
    </font>
    <font>
      <b/>
      <sz val="11"/>
      <color rgb="FFFFFFFF"/>
      <name val="Arial"/>
      <charset val="1"/>
    </font>
    <font>
      <i/>
      <sz val="9"/>
      <name val="Arial"/>
      <charset val="1"/>
    </font>
    <font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CCFFFF"/>
      </patternFill>
    </fill>
    <fill>
      <patternFill patternType="solid">
        <fgColor rgb="FF6AA84F"/>
        <bgColor rgb="FF93C47D"/>
      </patternFill>
    </fill>
    <fill>
      <patternFill patternType="solid">
        <fgColor rgb="FF93C47D"/>
        <bgColor rgb="FFA8D5BA"/>
      </patternFill>
    </fill>
    <fill>
      <patternFill patternType="solid">
        <fgColor rgb="FFB6D7A8"/>
        <bgColor rgb="FFA8D5BA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5" fontId="0" fillId="2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  <xf numFmtId="16" fontId="5" fillId="0" borderId="2" xfId="0" applyNumberFormat="1" applyFont="1" applyBorder="1" applyAlignment="1">
      <alignment horizontal="center" textRotation="90"/>
    </xf>
    <xf numFmtId="0" fontId="1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5" fontId="0" fillId="0" borderId="2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/>
    <xf numFmtId="9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A8D5B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6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A8D5B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3C47D"/>
      <rgbColor rgb="FF003366"/>
      <rgbColor rgb="FF6AA84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21"/>
  <sheetViews>
    <sheetView tabSelected="1" zoomScale="145" zoomScaleNormal="145" workbookViewId="0">
      <pane ySplit="6" topLeftCell="A7" activePane="bottomLeft" state="frozen"/>
      <selection pane="bottomLeft" activeCell="P16" sqref="P16"/>
    </sheetView>
  </sheetViews>
  <sheetFormatPr defaultColWidth="8.7109375" defaultRowHeight="15" x14ac:dyDescent="0.25"/>
  <cols>
    <col min="1" max="1" width="4" customWidth="1"/>
    <col min="2" max="2" width="24.28515625" customWidth="1"/>
    <col min="3" max="3" width="47.140625" customWidth="1"/>
    <col min="4" max="4" width="12.42578125" bestFit="1" customWidth="1"/>
    <col min="5" max="6" width="12" customWidth="1"/>
    <col min="7" max="7" width="6" customWidth="1"/>
    <col min="8" max="8" width="12" customWidth="1"/>
    <col min="9" max="9" width="7.85546875" bestFit="1" customWidth="1"/>
    <col min="10" max="35" width="3.42578125" customWidth="1"/>
  </cols>
  <sheetData>
    <row r="2" spans="1:35" x14ac:dyDescent="0.25">
      <c r="B2" s="5" t="s">
        <v>0</v>
      </c>
      <c r="D2" s="4">
        <v>46027</v>
      </c>
      <c r="E2" s="4"/>
    </row>
    <row r="3" spans="1:35" ht="18.75" x14ac:dyDescent="0.25">
      <c r="B3" s="5" t="s">
        <v>1</v>
      </c>
      <c r="D3" s="3" t="s">
        <v>2</v>
      </c>
      <c r="E3" s="3"/>
      <c r="F3" s="3"/>
      <c r="G3" s="3"/>
      <c r="H3" s="3"/>
      <c r="J3" s="2" t="s">
        <v>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x14ac:dyDescent="0.25">
      <c r="H4" s="6" t="s">
        <v>4</v>
      </c>
      <c r="J4" s="1" t="s">
        <v>5</v>
      </c>
      <c r="K4" s="1"/>
      <c r="L4" s="1"/>
      <c r="M4" s="1"/>
      <c r="N4" s="1" t="s">
        <v>6</v>
      </c>
      <c r="O4" s="1"/>
      <c r="P4" s="1"/>
      <c r="Q4" s="1"/>
      <c r="R4" s="1" t="s">
        <v>7</v>
      </c>
      <c r="S4" s="1"/>
      <c r="T4" s="1"/>
      <c r="U4" s="1"/>
      <c r="V4" s="1"/>
      <c r="W4" s="1" t="s">
        <v>8</v>
      </c>
      <c r="X4" s="1"/>
      <c r="Y4" s="1"/>
      <c r="Z4" s="1"/>
      <c r="AA4" s="1" t="s">
        <v>9</v>
      </c>
      <c r="AB4" s="1"/>
      <c r="AC4" s="1"/>
      <c r="AD4" s="1"/>
      <c r="AE4" s="1" t="s">
        <v>10</v>
      </c>
      <c r="AF4" s="1"/>
      <c r="AG4" s="1"/>
      <c r="AH4" s="1"/>
      <c r="AI4" s="1"/>
    </row>
    <row r="5" spans="1:35" ht="60" customHeight="1" x14ac:dyDescent="0.25">
      <c r="J5" s="7">
        <v>46027</v>
      </c>
      <c r="K5" s="7">
        <v>46034</v>
      </c>
      <c r="L5" s="7">
        <v>46041</v>
      </c>
      <c r="M5" s="7">
        <v>46048</v>
      </c>
      <c r="N5" s="7">
        <v>46055</v>
      </c>
      <c r="O5" s="7">
        <v>46062</v>
      </c>
      <c r="P5" s="7">
        <v>46069</v>
      </c>
      <c r="Q5" s="7">
        <v>46076</v>
      </c>
      <c r="R5" s="7">
        <v>46083</v>
      </c>
      <c r="S5" s="7">
        <v>46090</v>
      </c>
      <c r="T5" s="7">
        <v>46097</v>
      </c>
      <c r="U5" s="7">
        <v>46104</v>
      </c>
      <c r="V5" s="7">
        <v>46111</v>
      </c>
      <c r="W5" s="7">
        <v>46118</v>
      </c>
      <c r="X5" s="7">
        <v>46125</v>
      </c>
      <c r="Y5" s="7">
        <v>46132</v>
      </c>
      <c r="Z5" s="7">
        <v>46139</v>
      </c>
      <c r="AA5" s="7">
        <v>46146</v>
      </c>
      <c r="AB5" s="7">
        <v>46153</v>
      </c>
      <c r="AC5" s="7">
        <v>46160</v>
      </c>
      <c r="AD5" s="7">
        <v>46167</v>
      </c>
      <c r="AE5" s="7">
        <v>46174</v>
      </c>
      <c r="AF5" s="7">
        <v>46181</v>
      </c>
      <c r="AG5" s="7">
        <v>46188</v>
      </c>
      <c r="AH5" s="7">
        <v>46195</v>
      </c>
      <c r="AI5" s="7">
        <v>46196</v>
      </c>
    </row>
    <row r="6" spans="1:35" ht="21.75" customHeight="1" x14ac:dyDescent="0.25">
      <c r="A6" s="8" t="s">
        <v>11</v>
      </c>
      <c r="B6" s="8" t="s">
        <v>12</v>
      </c>
      <c r="C6" s="8" t="s">
        <v>13</v>
      </c>
      <c r="D6" s="8" t="s">
        <v>14</v>
      </c>
      <c r="E6" s="8" t="s">
        <v>15</v>
      </c>
      <c r="F6" s="8" t="s">
        <v>16</v>
      </c>
      <c r="G6" s="8" t="s">
        <v>17</v>
      </c>
      <c r="H6" s="8" t="s">
        <v>18</v>
      </c>
      <c r="I6" s="8" t="s">
        <v>40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spans="1:35" ht="21.75" customHeight="1" x14ac:dyDescent="0.25">
      <c r="A7" s="10">
        <v>1</v>
      </c>
      <c r="B7" s="11" t="s">
        <v>19</v>
      </c>
      <c r="C7" s="12" t="s">
        <v>20</v>
      </c>
      <c r="D7" s="10" t="s">
        <v>39</v>
      </c>
      <c r="E7" s="13">
        <v>46027</v>
      </c>
      <c r="F7" s="13">
        <v>46040</v>
      </c>
      <c r="G7" s="14">
        <f t="shared" ref="G7:G23" si="0">IF(AND(E7&lt;&gt;"",F7&lt;&gt;""),F7-E7+1,"")</f>
        <v>14</v>
      </c>
      <c r="H7" s="10" t="s">
        <v>21</v>
      </c>
      <c r="I7" s="16">
        <v>0.9</v>
      </c>
      <c r="J7" s="15" t="str">
        <f t="shared" ref="J7:J15" si="1">IF(AND(E7&lt;&gt;"",F7&lt;&gt;"",J$5&gt;=E7,J$5&lt;=F7),"","")</f>
        <v/>
      </c>
      <c r="K7" s="15" t="str">
        <f t="shared" ref="K7:K15" si="2">IF(AND(E7&lt;&gt;"",F7&lt;&gt;"",K$5&gt;=E7,K$5&lt;=F7),"","")</f>
        <v/>
      </c>
      <c r="L7" s="15" t="str">
        <f t="shared" ref="L7:L15" si="3">IF(AND(E7&lt;&gt;"",F7&lt;&gt;"",L$5&gt;=E7,L$5&lt;=F7),"","")</f>
        <v/>
      </c>
      <c r="M7" s="15" t="str">
        <f t="shared" ref="M7:M15" si="4">IF(AND(E7&lt;&gt;"",F7&lt;&gt;"",M$5&gt;=E7,M$5&lt;=F7),"","")</f>
        <v/>
      </c>
      <c r="N7" s="15" t="str">
        <f t="shared" ref="N7:N15" si="5">IF(AND(E7&lt;&gt;"",F7&lt;&gt;"",N$5&gt;=E7,N$5&lt;=F7),"","")</f>
        <v/>
      </c>
      <c r="O7" s="15" t="str">
        <f t="shared" ref="O7:O15" si="6">IF(AND(E7&lt;&gt;"",F7&lt;&gt;"",O$5&gt;=E7,O$5&lt;=F7),"","")</f>
        <v/>
      </c>
      <c r="P7" s="15" t="str">
        <f t="shared" ref="P7:P15" si="7">IF(AND(E7&lt;&gt;"",F7&lt;&gt;"",P$5&gt;=E7,P$5&lt;=F7),"","")</f>
        <v/>
      </c>
      <c r="Q7" s="15" t="str">
        <f t="shared" ref="Q7:Q15" si="8">IF(AND(E7&lt;&gt;"",F7&lt;&gt;"",Q$5&gt;=E7,Q$5&lt;=F7),"","")</f>
        <v/>
      </c>
      <c r="R7" s="15" t="str">
        <f t="shared" ref="R7:R15" si="9">IF(AND(E7&lt;&gt;"",F7&lt;&gt;"",R$5&gt;=E7,R$5&lt;=F7),"","")</f>
        <v/>
      </c>
      <c r="S7" s="15" t="str">
        <f t="shared" ref="S7:S15" si="10">IF(AND(E7&lt;&gt;"",F7&lt;&gt;"",S$5&gt;=E7,S$5&lt;=F7),"","")</f>
        <v/>
      </c>
      <c r="T7" s="15" t="str">
        <f t="shared" ref="T7:T15" si="11">IF(AND(E7&lt;&gt;"",F7&lt;&gt;"",T$5&gt;=E7,T$5&lt;=F7),"","")</f>
        <v/>
      </c>
      <c r="U7" s="15" t="str">
        <f t="shared" ref="U7:U15" si="12">IF(AND(E7&lt;&gt;"",F7&lt;&gt;"",U$5&gt;=E7,U$5&lt;=F7),"","")</f>
        <v/>
      </c>
      <c r="V7" s="15" t="str">
        <f t="shared" ref="V7:V15" si="13">IF(AND(E7&lt;&gt;"",F7&lt;&gt;"",V$5&gt;=E7,V$5&lt;=F7),"","")</f>
        <v/>
      </c>
      <c r="W7" s="15" t="str">
        <f t="shared" ref="W7:W15" si="14">IF(AND(E7&lt;&gt;"",F7&lt;&gt;"",W$5&gt;=E7,W$5&lt;=F7),"","")</f>
        <v/>
      </c>
      <c r="X7" s="15" t="str">
        <f t="shared" ref="X7:X15" si="15">IF(AND(E7&lt;&gt;"",F7&lt;&gt;"",X$5&gt;=E7,X$5&lt;=F7),"","")</f>
        <v/>
      </c>
      <c r="Y7" s="15" t="str">
        <f t="shared" ref="Y7:Y15" si="16">IF(AND(E7&lt;&gt;"",F7&lt;&gt;"",Y$5&gt;=E7,Y$5&lt;=F7),"","")</f>
        <v/>
      </c>
      <c r="Z7" s="15" t="str">
        <f t="shared" ref="Z7:Z15" si="17">IF(AND(E7&lt;&gt;"",F7&lt;&gt;"",Z$5&gt;=E7,Z$5&lt;=F7),"","")</f>
        <v/>
      </c>
      <c r="AA7" s="15" t="str">
        <f t="shared" ref="AA7:AA15" si="18">IF(AND(E7&lt;&gt;"",F7&lt;&gt;"",AA$5&gt;=E7,AA$5&lt;=F7),"","")</f>
        <v/>
      </c>
      <c r="AB7" s="15" t="str">
        <f t="shared" ref="AB7:AB15" si="19">IF(AND(E7&lt;&gt;"",F7&lt;&gt;"",AB$5&gt;=E7,AB$5&lt;=F7),"","")</f>
        <v/>
      </c>
      <c r="AC7" s="15" t="str">
        <f t="shared" ref="AC7:AC15" si="20">IF(AND(E7&lt;&gt;"",F7&lt;&gt;"",AC$5&gt;=E7,AC$5&lt;=F7),"","")</f>
        <v/>
      </c>
      <c r="AD7" s="15" t="str">
        <f t="shared" ref="AD7:AD15" si="21">IF(AND(E7&lt;&gt;"",F7&lt;&gt;"",AD$5&gt;=E7,AD$5&lt;=F7),"","")</f>
        <v/>
      </c>
      <c r="AE7" s="15" t="str">
        <f t="shared" ref="AE7:AE15" si="22">IF(AND(E7&lt;&gt;"",F7&lt;&gt;"",AE$5&gt;=E7,AE$5&lt;=F7),"","")</f>
        <v/>
      </c>
      <c r="AF7" s="15" t="str">
        <f t="shared" ref="AF7:AF15" si="23">IF(AND(E7&lt;&gt;"",F7&lt;&gt;"",AF$5&gt;=E7,AF$5&lt;=F7),"","")</f>
        <v/>
      </c>
      <c r="AG7" s="15" t="str">
        <f t="shared" ref="AG7:AG15" si="24">IF(AND(E7&lt;&gt;"",F7&lt;&gt;"",AG$5&gt;=E7,AG$5&lt;=F7),"","")</f>
        <v/>
      </c>
      <c r="AH7" s="15" t="str">
        <f t="shared" ref="AH7:AH15" si="25">IF(AND(E7&lt;&gt;"",F7&lt;&gt;"",AH$5&gt;=E7,AH$5&lt;=F7),"","")</f>
        <v/>
      </c>
      <c r="AI7" s="15" t="str">
        <f t="shared" ref="AI7:AI15" si="26">IF(AND(E7&lt;&gt;"",F7&lt;&gt;"",AI$5&gt;=E7,AI$5&lt;=F7),"","")</f>
        <v/>
      </c>
    </row>
    <row r="8" spans="1:35" ht="21.75" customHeight="1" x14ac:dyDescent="0.25">
      <c r="A8" s="10">
        <v>2</v>
      </c>
      <c r="B8" s="11" t="s">
        <v>23</v>
      </c>
      <c r="C8" s="12" t="s">
        <v>24</v>
      </c>
      <c r="D8" s="10" t="s">
        <v>39</v>
      </c>
      <c r="E8" s="13">
        <v>46041</v>
      </c>
      <c r="F8" s="13">
        <v>46068</v>
      </c>
      <c r="G8" s="14">
        <f t="shared" si="0"/>
        <v>28</v>
      </c>
      <c r="H8" s="10" t="s">
        <v>21</v>
      </c>
      <c r="I8" s="10" t="s">
        <v>22</v>
      </c>
      <c r="J8" s="15" t="str">
        <f t="shared" si="1"/>
        <v/>
      </c>
      <c r="K8" s="15" t="str">
        <f t="shared" si="2"/>
        <v/>
      </c>
      <c r="L8" s="15" t="str">
        <f t="shared" si="3"/>
        <v/>
      </c>
      <c r="M8" s="15" t="str">
        <f t="shared" si="4"/>
        <v/>
      </c>
      <c r="N8" s="15" t="str">
        <f t="shared" si="5"/>
        <v/>
      </c>
      <c r="O8" s="15" t="str">
        <f t="shared" si="6"/>
        <v/>
      </c>
      <c r="P8" s="15" t="str">
        <f t="shared" si="7"/>
        <v/>
      </c>
      <c r="Q8" s="15" t="str">
        <f t="shared" si="8"/>
        <v/>
      </c>
      <c r="R8" s="15" t="str">
        <f t="shared" si="9"/>
        <v/>
      </c>
      <c r="S8" s="15" t="str">
        <f t="shared" si="10"/>
        <v/>
      </c>
      <c r="T8" s="15" t="str">
        <f t="shared" si="11"/>
        <v/>
      </c>
      <c r="U8" s="15" t="str">
        <f t="shared" si="12"/>
        <v/>
      </c>
      <c r="V8" s="15" t="str">
        <f t="shared" si="13"/>
        <v/>
      </c>
      <c r="W8" s="15" t="str">
        <f t="shared" si="14"/>
        <v/>
      </c>
      <c r="X8" s="15" t="str">
        <f t="shared" si="15"/>
        <v/>
      </c>
      <c r="Y8" s="15" t="str">
        <f t="shared" si="16"/>
        <v/>
      </c>
      <c r="Z8" s="15" t="str">
        <f t="shared" si="17"/>
        <v/>
      </c>
      <c r="AA8" s="15" t="str">
        <f t="shared" si="18"/>
        <v/>
      </c>
      <c r="AB8" s="15" t="str">
        <f t="shared" si="19"/>
        <v/>
      </c>
      <c r="AC8" s="15" t="str">
        <f t="shared" si="20"/>
        <v/>
      </c>
      <c r="AD8" s="15" t="str">
        <f t="shared" si="21"/>
        <v/>
      </c>
      <c r="AE8" s="15" t="str">
        <f t="shared" si="22"/>
        <v/>
      </c>
      <c r="AF8" s="15" t="str">
        <f t="shared" si="23"/>
        <v/>
      </c>
      <c r="AG8" s="15" t="str">
        <f t="shared" si="24"/>
        <v/>
      </c>
      <c r="AH8" s="15" t="str">
        <f t="shared" si="25"/>
        <v/>
      </c>
      <c r="AI8" s="15" t="str">
        <f t="shared" si="26"/>
        <v/>
      </c>
    </row>
    <row r="9" spans="1:35" ht="21.75" customHeight="1" x14ac:dyDescent="0.25">
      <c r="A9" s="10">
        <v>3</v>
      </c>
      <c r="B9" s="11" t="s">
        <v>25</v>
      </c>
      <c r="C9" s="12" t="s">
        <v>26</v>
      </c>
      <c r="D9" s="10" t="s">
        <v>39</v>
      </c>
      <c r="E9" s="13">
        <v>46069</v>
      </c>
      <c r="F9" s="13">
        <v>46103</v>
      </c>
      <c r="G9" s="14">
        <f t="shared" si="0"/>
        <v>35</v>
      </c>
      <c r="H9" s="10" t="s">
        <v>21</v>
      </c>
      <c r="I9" s="10" t="s">
        <v>22</v>
      </c>
      <c r="J9" s="15" t="str">
        <f t="shared" si="1"/>
        <v/>
      </c>
      <c r="K9" s="15" t="str">
        <f t="shared" si="2"/>
        <v/>
      </c>
      <c r="L9" s="15" t="str">
        <f t="shared" si="3"/>
        <v/>
      </c>
      <c r="M9" s="15" t="str">
        <f t="shared" si="4"/>
        <v/>
      </c>
      <c r="N9" s="15" t="str">
        <f t="shared" si="5"/>
        <v/>
      </c>
      <c r="O9" s="15" t="str">
        <f t="shared" si="6"/>
        <v/>
      </c>
      <c r="P9" s="15" t="str">
        <f t="shared" si="7"/>
        <v/>
      </c>
      <c r="Q9" s="15" t="str">
        <f t="shared" si="8"/>
        <v/>
      </c>
      <c r="R9" s="15" t="str">
        <f t="shared" si="9"/>
        <v/>
      </c>
      <c r="S9" s="15" t="str">
        <f t="shared" si="10"/>
        <v/>
      </c>
      <c r="T9" s="15" t="str">
        <f t="shared" si="11"/>
        <v/>
      </c>
      <c r="U9" s="15" t="str">
        <f t="shared" si="12"/>
        <v/>
      </c>
      <c r="V9" s="15" t="str">
        <f t="shared" si="13"/>
        <v/>
      </c>
      <c r="W9" s="15" t="str">
        <f t="shared" si="14"/>
        <v/>
      </c>
      <c r="X9" s="15" t="str">
        <f t="shared" si="15"/>
        <v/>
      </c>
      <c r="Y9" s="15" t="str">
        <f t="shared" si="16"/>
        <v/>
      </c>
      <c r="Z9" s="15" t="str">
        <f t="shared" si="17"/>
        <v/>
      </c>
      <c r="AA9" s="15" t="str">
        <f t="shared" si="18"/>
        <v/>
      </c>
      <c r="AB9" s="15" t="str">
        <f t="shared" si="19"/>
        <v/>
      </c>
      <c r="AC9" s="15" t="str">
        <f t="shared" si="20"/>
        <v/>
      </c>
      <c r="AD9" s="15" t="str">
        <f t="shared" si="21"/>
        <v/>
      </c>
      <c r="AE9" s="15" t="str">
        <f t="shared" si="22"/>
        <v/>
      </c>
      <c r="AF9" s="15" t="str">
        <f t="shared" si="23"/>
        <v/>
      </c>
      <c r="AG9" s="15" t="str">
        <f t="shared" si="24"/>
        <v/>
      </c>
      <c r="AH9" s="15" t="str">
        <f t="shared" si="25"/>
        <v/>
      </c>
      <c r="AI9" s="15" t="str">
        <f t="shared" si="26"/>
        <v/>
      </c>
    </row>
    <row r="10" spans="1:35" ht="21.75" customHeight="1" x14ac:dyDescent="0.25">
      <c r="A10" s="10">
        <v>4</v>
      </c>
      <c r="B10" s="11" t="s">
        <v>27</v>
      </c>
      <c r="C10" s="12" t="s">
        <v>28</v>
      </c>
      <c r="D10" s="10" t="s">
        <v>39</v>
      </c>
      <c r="E10" s="13">
        <v>46104</v>
      </c>
      <c r="F10" s="13">
        <v>46131</v>
      </c>
      <c r="G10" s="14">
        <f t="shared" si="0"/>
        <v>28</v>
      </c>
      <c r="H10" s="10" t="s">
        <v>21</v>
      </c>
      <c r="I10" s="10" t="s">
        <v>22</v>
      </c>
      <c r="J10" s="15" t="str">
        <f t="shared" si="1"/>
        <v/>
      </c>
      <c r="K10" s="15" t="str">
        <f t="shared" si="2"/>
        <v/>
      </c>
      <c r="L10" s="15" t="str">
        <f t="shared" si="3"/>
        <v/>
      </c>
      <c r="M10" s="15" t="str">
        <f t="shared" si="4"/>
        <v/>
      </c>
      <c r="N10" s="15" t="str">
        <f t="shared" si="5"/>
        <v/>
      </c>
      <c r="O10" s="15" t="str">
        <f t="shared" si="6"/>
        <v/>
      </c>
      <c r="P10" s="15" t="str">
        <f t="shared" si="7"/>
        <v/>
      </c>
      <c r="Q10" s="15" t="str">
        <f t="shared" si="8"/>
        <v/>
      </c>
      <c r="R10" s="15" t="str">
        <f t="shared" si="9"/>
        <v/>
      </c>
      <c r="S10" s="15" t="str">
        <f t="shared" si="10"/>
        <v/>
      </c>
      <c r="T10" s="15" t="str">
        <f t="shared" si="11"/>
        <v/>
      </c>
      <c r="U10" s="15" t="str">
        <f t="shared" si="12"/>
        <v/>
      </c>
      <c r="V10" s="15" t="str">
        <f t="shared" si="13"/>
        <v/>
      </c>
      <c r="W10" s="15" t="str">
        <f t="shared" si="14"/>
        <v/>
      </c>
      <c r="X10" s="15" t="str">
        <f t="shared" si="15"/>
        <v/>
      </c>
      <c r="Y10" s="15" t="str">
        <f t="shared" si="16"/>
        <v/>
      </c>
      <c r="Z10" s="15" t="str">
        <f t="shared" si="17"/>
        <v/>
      </c>
      <c r="AA10" s="15" t="str">
        <f t="shared" si="18"/>
        <v/>
      </c>
      <c r="AB10" s="15" t="str">
        <f t="shared" si="19"/>
        <v/>
      </c>
      <c r="AC10" s="15" t="str">
        <f t="shared" si="20"/>
        <v/>
      </c>
      <c r="AD10" s="15" t="str">
        <f t="shared" si="21"/>
        <v/>
      </c>
      <c r="AE10" s="15" t="str">
        <f t="shared" si="22"/>
        <v/>
      </c>
      <c r="AF10" s="15" t="str">
        <f t="shared" si="23"/>
        <v/>
      </c>
      <c r="AG10" s="15" t="str">
        <f t="shared" si="24"/>
        <v/>
      </c>
      <c r="AH10" s="15" t="str">
        <f t="shared" si="25"/>
        <v/>
      </c>
      <c r="AI10" s="15" t="str">
        <f t="shared" si="26"/>
        <v/>
      </c>
    </row>
    <row r="11" spans="1:35" ht="21.75" customHeight="1" x14ac:dyDescent="0.25">
      <c r="A11" s="10">
        <v>5</v>
      </c>
      <c r="B11" s="11" t="s">
        <v>29</v>
      </c>
      <c r="C11" s="12" t="s">
        <v>30</v>
      </c>
      <c r="D11" s="10" t="s">
        <v>39</v>
      </c>
      <c r="E11" s="13">
        <v>46132</v>
      </c>
      <c r="F11" s="13">
        <v>46152</v>
      </c>
      <c r="G11" s="14">
        <f t="shared" si="0"/>
        <v>21</v>
      </c>
      <c r="H11" s="10" t="s">
        <v>21</v>
      </c>
      <c r="I11" s="10" t="s">
        <v>22</v>
      </c>
      <c r="J11" s="15" t="str">
        <f t="shared" si="1"/>
        <v/>
      </c>
      <c r="K11" s="15" t="str">
        <f t="shared" si="2"/>
        <v/>
      </c>
      <c r="L11" s="15" t="str">
        <f t="shared" si="3"/>
        <v/>
      </c>
      <c r="M11" s="15" t="str">
        <f t="shared" si="4"/>
        <v/>
      </c>
      <c r="N11" s="15" t="str">
        <f t="shared" si="5"/>
        <v/>
      </c>
      <c r="O11" s="15" t="str">
        <f t="shared" si="6"/>
        <v/>
      </c>
      <c r="P11" s="15" t="str">
        <f t="shared" si="7"/>
        <v/>
      </c>
      <c r="Q11" s="15" t="str">
        <f t="shared" si="8"/>
        <v/>
      </c>
      <c r="R11" s="15" t="str">
        <f t="shared" si="9"/>
        <v/>
      </c>
      <c r="S11" s="15" t="str">
        <f t="shared" si="10"/>
        <v/>
      </c>
      <c r="T11" s="15" t="str">
        <f t="shared" si="11"/>
        <v/>
      </c>
      <c r="U11" s="15" t="str">
        <f t="shared" si="12"/>
        <v/>
      </c>
      <c r="V11" s="15" t="str">
        <f t="shared" si="13"/>
        <v/>
      </c>
      <c r="W11" s="15" t="str">
        <f t="shared" si="14"/>
        <v/>
      </c>
      <c r="X11" s="15" t="str">
        <f t="shared" si="15"/>
        <v/>
      </c>
      <c r="Y11" s="15" t="str">
        <f t="shared" si="16"/>
        <v/>
      </c>
      <c r="Z11" s="15" t="str">
        <f t="shared" si="17"/>
        <v/>
      </c>
      <c r="AA11" s="15" t="str">
        <f t="shared" si="18"/>
        <v/>
      </c>
      <c r="AB11" s="15" t="str">
        <f t="shared" si="19"/>
        <v/>
      </c>
      <c r="AC11" s="15" t="str">
        <f t="shared" si="20"/>
        <v/>
      </c>
      <c r="AD11" s="15" t="str">
        <f t="shared" si="21"/>
        <v/>
      </c>
      <c r="AE11" s="15" t="str">
        <f t="shared" si="22"/>
        <v/>
      </c>
      <c r="AF11" s="15" t="str">
        <f t="shared" si="23"/>
        <v/>
      </c>
      <c r="AG11" s="15" t="str">
        <f t="shared" si="24"/>
        <v/>
      </c>
      <c r="AH11" s="15" t="str">
        <f t="shared" si="25"/>
        <v/>
      </c>
      <c r="AI11" s="15" t="str">
        <f t="shared" si="26"/>
        <v/>
      </c>
    </row>
    <row r="12" spans="1:35" ht="21.75" customHeight="1" x14ac:dyDescent="0.25">
      <c r="A12" s="10">
        <v>6</v>
      </c>
      <c r="B12" s="11" t="s">
        <v>31</v>
      </c>
      <c r="C12" s="12" t="s">
        <v>32</v>
      </c>
      <c r="D12" s="10" t="s">
        <v>39</v>
      </c>
      <c r="E12" s="13">
        <v>46153</v>
      </c>
      <c r="F12" s="13">
        <v>46160</v>
      </c>
      <c r="G12" s="14">
        <f t="shared" si="0"/>
        <v>8</v>
      </c>
      <c r="H12" s="10" t="s">
        <v>21</v>
      </c>
      <c r="I12" s="10" t="s">
        <v>22</v>
      </c>
      <c r="J12" s="15" t="str">
        <f t="shared" si="1"/>
        <v/>
      </c>
      <c r="K12" s="15" t="str">
        <f t="shared" si="2"/>
        <v/>
      </c>
      <c r="L12" s="15" t="str">
        <f t="shared" si="3"/>
        <v/>
      </c>
      <c r="M12" s="15" t="str">
        <f t="shared" si="4"/>
        <v/>
      </c>
      <c r="N12" s="15" t="str">
        <f t="shared" si="5"/>
        <v/>
      </c>
      <c r="O12" s="15" t="str">
        <f t="shared" si="6"/>
        <v/>
      </c>
      <c r="P12" s="15" t="str">
        <f t="shared" si="7"/>
        <v/>
      </c>
      <c r="Q12" s="15" t="str">
        <f t="shared" si="8"/>
        <v/>
      </c>
      <c r="R12" s="15" t="str">
        <f t="shared" si="9"/>
        <v/>
      </c>
      <c r="S12" s="15" t="str">
        <f t="shared" si="10"/>
        <v/>
      </c>
      <c r="T12" s="15" t="str">
        <f t="shared" si="11"/>
        <v/>
      </c>
      <c r="U12" s="15" t="str">
        <f t="shared" si="12"/>
        <v/>
      </c>
      <c r="V12" s="15" t="str">
        <f t="shared" si="13"/>
        <v/>
      </c>
      <c r="W12" s="15" t="str">
        <f t="shared" si="14"/>
        <v/>
      </c>
      <c r="X12" s="15" t="str">
        <f t="shared" si="15"/>
        <v/>
      </c>
      <c r="Y12" s="15" t="str">
        <f t="shared" si="16"/>
        <v/>
      </c>
      <c r="Z12" s="15" t="str">
        <f t="shared" si="17"/>
        <v/>
      </c>
      <c r="AA12" s="15" t="str">
        <f t="shared" si="18"/>
        <v/>
      </c>
      <c r="AB12" s="15" t="str">
        <f t="shared" si="19"/>
        <v/>
      </c>
      <c r="AC12" s="15" t="str">
        <f t="shared" si="20"/>
        <v/>
      </c>
      <c r="AD12" s="15" t="str">
        <f t="shared" si="21"/>
        <v/>
      </c>
      <c r="AE12" s="15" t="str">
        <f t="shared" si="22"/>
        <v/>
      </c>
      <c r="AF12" s="15" t="str">
        <f t="shared" si="23"/>
        <v/>
      </c>
      <c r="AG12" s="15" t="str">
        <f t="shared" si="24"/>
        <v/>
      </c>
      <c r="AH12" s="15" t="str">
        <f t="shared" si="25"/>
        <v/>
      </c>
      <c r="AI12" s="15" t="str">
        <f t="shared" si="26"/>
        <v/>
      </c>
    </row>
    <row r="13" spans="1:35" ht="21.75" customHeight="1" x14ac:dyDescent="0.25">
      <c r="A13" s="10">
        <v>7</v>
      </c>
      <c r="B13" s="11" t="s">
        <v>33</v>
      </c>
      <c r="C13" s="12" t="s">
        <v>34</v>
      </c>
      <c r="D13" s="10" t="s">
        <v>39</v>
      </c>
      <c r="E13" s="13">
        <v>46160</v>
      </c>
      <c r="F13" s="13">
        <v>46174</v>
      </c>
      <c r="G13" s="14">
        <f t="shared" si="0"/>
        <v>15</v>
      </c>
      <c r="H13" s="10" t="s">
        <v>21</v>
      </c>
      <c r="I13" s="10" t="s">
        <v>22</v>
      </c>
      <c r="J13" s="15" t="str">
        <f t="shared" si="1"/>
        <v/>
      </c>
      <c r="K13" s="15" t="str">
        <f t="shared" si="2"/>
        <v/>
      </c>
      <c r="L13" s="15" t="str">
        <f t="shared" si="3"/>
        <v/>
      </c>
      <c r="M13" s="15" t="str">
        <f t="shared" si="4"/>
        <v/>
      </c>
      <c r="N13" s="15" t="str">
        <f t="shared" si="5"/>
        <v/>
      </c>
      <c r="O13" s="15" t="str">
        <f t="shared" si="6"/>
        <v/>
      </c>
      <c r="P13" s="15" t="str">
        <f t="shared" si="7"/>
        <v/>
      </c>
      <c r="Q13" s="15" t="str">
        <f t="shared" si="8"/>
        <v/>
      </c>
      <c r="R13" s="15" t="str">
        <f t="shared" si="9"/>
        <v/>
      </c>
      <c r="S13" s="15" t="str">
        <f t="shared" si="10"/>
        <v/>
      </c>
      <c r="T13" s="15" t="str">
        <f t="shared" si="11"/>
        <v/>
      </c>
      <c r="U13" s="15" t="str">
        <f t="shared" si="12"/>
        <v/>
      </c>
      <c r="V13" s="15" t="str">
        <f t="shared" si="13"/>
        <v/>
      </c>
      <c r="W13" s="15" t="str">
        <f t="shared" si="14"/>
        <v/>
      </c>
      <c r="X13" s="15" t="str">
        <f t="shared" si="15"/>
        <v/>
      </c>
      <c r="Y13" s="15" t="str">
        <f t="shared" si="16"/>
        <v/>
      </c>
      <c r="Z13" s="15" t="str">
        <f t="shared" si="17"/>
        <v/>
      </c>
      <c r="AA13" s="15" t="str">
        <f t="shared" si="18"/>
        <v/>
      </c>
      <c r="AB13" s="15" t="str">
        <f t="shared" si="19"/>
        <v/>
      </c>
      <c r="AC13" s="15" t="str">
        <f t="shared" si="20"/>
        <v/>
      </c>
      <c r="AD13" s="15" t="str">
        <f t="shared" si="21"/>
        <v/>
      </c>
      <c r="AE13" s="15" t="str">
        <f t="shared" si="22"/>
        <v/>
      </c>
      <c r="AF13" s="15" t="str">
        <f t="shared" si="23"/>
        <v/>
      </c>
      <c r="AG13" s="15" t="str">
        <f t="shared" si="24"/>
        <v/>
      </c>
      <c r="AH13" s="15" t="str">
        <f t="shared" si="25"/>
        <v/>
      </c>
      <c r="AI13" s="15" t="str">
        <f t="shared" si="26"/>
        <v/>
      </c>
    </row>
    <row r="14" spans="1:35" ht="21.75" customHeight="1" x14ac:dyDescent="0.25">
      <c r="A14" s="10">
        <v>8</v>
      </c>
      <c r="B14" s="11" t="s">
        <v>35</v>
      </c>
      <c r="C14" s="12" t="s">
        <v>36</v>
      </c>
      <c r="D14" s="10" t="s">
        <v>39</v>
      </c>
      <c r="E14" s="13">
        <v>46174</v>
      </c>
      <c r="F14" s="13">
        <v>46188</v>
      </c>
      <c r="G14" s="14">
        <f t="shared" si="0"/>
        <v>15</v>
      </c>
      <c r="H14" s="10" t="s">
        <v>21</v>
      </c>
      <c r="I14" s="10" t="s">
        <v>22</v>
      </c>
      <c r="J14" s="15" t="str">
        <f t="shared" si="1"/>
        <v/>
      </c>
      <c r="K14" s="15" t="str">
        <f t="shared" si="2"/>
        <v/>
      </c>
      <c r="L14" s="15" t="str">
        <f t="shared" si="3"/>
        <v/>
      </c>
      <c r="M14" s="15" t="str">
        <f t="shared" si="4"/>
        <v/>
      </c>
      <c r="N14" s="15" t="str">
        <f t="shared" si="5"/>
        <v/>
      </c>
      <c r="O14" s="15" t="str">
        <f t="shared" si="6"/>
        <v/>
      </c>
      <c r="P14" s="15" t="str">
        <f t="shared" si="7"/>
        <v/>
      </c>
      <c r="Q14" s="15" t="str">
        <f t="shared" si="8"/>
        <v/>
      </c>
      <c r="R14" s="15" t="str">
        <f t="shared" si="9"/>
        <v/>
      </c>
      <c r="S14" s="15" t="str">
        <f t="shared" si="10"/>
        <v/>
      </c>
      <c r="T14" s="15" t="str">
        <f t="shared" si="11"/>
        <v/>
      </c>
      <c r="U14" s="15" t="str">
        <f t="shared" si="12"/>
        <v/>
      </c>
      <c r="V14" s="15" t="str">
        <f t="shared" si="13"/>
        <v/>
      </c>
      <c r="W14" s="15" t="str">
        <f t="shared" si="14"/>
        <v/>
      </c>
      <c r="X14" s="15" t="str">
        <f t="shared" si="15"/>
        <v/>
      </c>
      <c r="Y14" s="15" t="str">
        <f t="shared" si="16"/>
        <v/>
      </c>
      <c r="Z14" s="15" t="str">
        <f t="shared" si="17"/>
        <v/>
      </c>
      <c r="AA14" s="15" t="str">
        <f t="shared" si="18"/>
        <v/>
      </c>
      <c r="AB14" s="15" t="str">
        <f t="shared" si="19"/>
        <v/>
      </c>
      <c r="AC14" s="15" t="str">
        <f t="shared" si="20"/>
        <v/>
      </c>
      <c r="AD14" s="15" t="str">
        <f t="shared" si="21"/>
        <v/>
      </c>
      <c r="AE14" s="15" t="str">
        <f t="shared" si="22"/>
        <v/>
      </c>
      <c r="AF14" s="15" t="str">
        <f t="shared" si="23"/>
        <v/>
      </c>
      <c r="AG14" s="15" t="str">
        <f t="shared" si="24"/>
        <v/>
      </c>
      <c r="AH14" s="15" t="str">
        <f t="shared" si="25"/>
        <v/>
      </c>
      <c r="AI14" s="15" t="str">
        <f t="shared" si="26"/>
        <v/>
      </c>
    </row>
    <row r="15" spans="1:35" ht="21.75" customHeight="1" x14ac:dyDescent="0.25">
      <c r="A15" s="10">
        <v>9</v>
      </c>
      <c r="B15" s="11" t="s">
        <v>37</v>
      </c>
      <c r="C15" s="12" t="s">
        <v>38</v>
      </c>
      <c r="D15" s="10" t="s">
        <v>39</v>
      </c>
      <c r="E15" s="13">
        <v>46195</v>
      </c>
      <c r="F15" s="13">
        <v>46196</v>
      </c>
      <c r="G15" s="14">
        <f t="shared" si="0"/>
        <v>2</v>
      </c>
      <c r="H15" s="10" t="s">
        <v>21</v>
      </c>
      <c r="I15" s="10" t="s">
        <v>22</v>
      </c>
      <c r="J15" s="15" t="str">
        <f t="shared" si="1"/>
        <v/>
      </c>
      <c r="K15" s="15" t="str">
        <f t="shared" si="2"/>
        <v/>
      </c>
      <c r="L15" s="15" t="str">
        <f t="shared" si="3"/>
        <v/>
      </c>
      <c r="M15" s="15" t="str">
        <f t="shared" si="4"/>
        <v/>
      </c>
      <c r="N15" s="15" t="str">
        <f t="shared" si="5"/>
        <v/>
      </c>
      <c r="O15" s="15" t="str">
        <f t="shared" si="6"/>
        <v/>
      </c>
      <c r="P15" s="15" t="str">
        <f t="shared" si="7"/>
        <v/>
      </c>
      <c r="Q15" s="15" t="str">
        <f t="shared" si="8"/>
        <v/>
      </c>
      <c r="R15" s="15" t="str">
        <f t="shared" si="9"/>
        <v/>
      </c>
      <c r="S15" s="15" t="str">
        <f t="shared" si="10"/>
        <v/>
      </c>
      <c r="T15" s="15" t="str">
        <f t="shared" si="11"/>
        <v/>
      </c>
      <c r="U15" s="15" t="str">
        <f t="shared" si="12"/>
        <v/>
      </c>
      <c r="V15" s="15" t="str">
        <f t="shared" si="13"/>
        <v/>
      </c>
      <c r="W15" s="15" t="str">
        <f t="shared" si="14"/>
        <v/>
      </c>
      <c r="X15" s="15" t="str">
        <f t="shared" si="15"/>
        <v/>
      </c>
      <c r="Y15" s="15" t="str">
        <f t="shared" si="16"/>
        <v/>
      </c>
      <c r="Z15" s="15" t="str">
        <f t="shared" si="17"/>
        <v/>
      </c>
      <c r="AA15" s="15" t="str">
        <f t="shared" si="18"/>
        <v/>
      </c>
      <c r="AB15" s="15" t="str">
        <f t="shared" si="19"/>
        <v/>
      </c>
      <c r="AC15" s="15" t="str">
        <f t="shared" si="20"/>
        <v/>
      </c>
      <c r="AD15" s="15" t="str">
        <f t="shared" si="21"/>
        <v/>
      </c>
      <c r="AE15" s="15" t="str">
        <f t="shared" si="22"/>
        <v/>
      </c>
      <c r="AF15" s="15" t="str">
        <f t="shared" si="23"/>
        <v/>
      </c>
      <c r="AG15" s="15" t="str">
        <f t="shared" si="24"/>
        <v/>
      </c>
      <c r="AH15" s="15" t="str">
        <f t="shared" si="25"/>
        <v/>
      </c>
      <c r="AI15" s="15" t="str">
        <f t="shared" si="26"/>
        <v/>
      </c>
    </row>
    <row r="16" spans="1:35" ht="21.75" customHeight="1" x14ac:dyDescent="0.25">
      <c r="A16" s="15"/>
      <c r="B16" s="15"/>
      <c r="C16" s="15"/>
      <c r="D16" s="15"/>
      <c r="E16" s="15"/>
      <c r="F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</row>
    <row r="17" spans="1:35" ht="21.75" customHeight="1" x14ac:dyDescent="0.25">
      <c r="A17" s="15"/>
      <c r="B17" s="15"/>
      <c r="C17" s="15"/>
      <c r="D17" s="15"/>
      <c r="E17" s="15"/>
      <c r="F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</row>
    <row r="18" spans="1:35" ht="21.75" customHeight="1" x14ac:dyDescent="0.25">
      <c r="A18" s="15"/>
      <c r="B18" s="15"/>
      <c r="C18" s="15"/>
      <c r="D18" s="15"/>
      <c r="E18" s="15"/>
      <c r="F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spans="1:35" ht="21.75" customHeight="1" x14ac:dyDescent="0.25">
      <c r="A19" s="15"/>
      <c r="B19" s="15"/>
      <c r="C19" s="15"/>
      <c r="D19" s="15"/>
      <c r="E19" s="15"/>
      <c r="F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spans="1:35" ht="21.75" customHeight="1" x14ac:dyDescent="0.25">
      <c r="A20" s="15"/>
      <c r="B20" s="15"/>
      <c r="C20" s="15"/>
      <c r="D20" s="15"/>
      <c r="E20" s="15"/>
      <c r="F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spans="1:35" ht="21.75" customHeight="1" x14ac:dyDescent="0.25"/>
  </sheetData>
  <mergeCells count="9">
    <mergeCell ref="D2:E2"/>
    <mergeCell ref="D3:H3"/>
    <mergeCell ref="J3:AI3"/>
    <mergeCell ref="J4:M4"/>
    <mergeCell ref="N4:Q4"/>
    <mergeCell ref="R4:V4"/>
    <mergeCell ref="W4:Z4"/>
    <mergeCell ref="AA4:AD4"/>
    <mergeCell ref="AE4:AI4"/>
  </mergeCells>
  <conditionalFormatting sqref="J7:AI20">
    <cfRule type="expression" dxfId="0" priority="2">
      <formula>AND($E7&lt;&gt;"",$F7&lt;&gt;"",J$5&gt;=$E7,J$5&lt;=$F7)</formula>
    </cfRule>
  </conditionalFormatting>
  <dataValidations count="1">
    <dataValidation type="list" allowBlank="1" sqref="H7:H20" xr:uid="{00000000-0002-0000-0000-000000000000}">
      <formula1>"Not started,In progress,Complete,Blocked"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Zi Min Edwin Chan</cp:lastModifiedBy>
  <cp:revision>0</cp:revision>
  <dcterms:created xsi:type="dcterms:W3CDTF">2026-01-18T13:44:15Z</dcterms:created>
  <dcterms:modified xsi:type="dcterms:W3CDTF">2026-01-18T14:07:58Z</dcterms:modified>
  <dc:language>en-US</dc:language>
</cp:coreProperties>
</file>